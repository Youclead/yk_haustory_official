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bcga\Documents\카카오톡 받은 파일\"/>
    </mc:Choice>
  </mc:AlternateContent>
  <x:bookViews>
    <x:workbookView xWindow="0" yWindow="0" windowWidth="20364" windowHeight="12288"/>
  </x:bookViews>
  <x:sheets>
    <x:sheet name="대시보드" sheetId="1" r:id="rId4"/>
    <x:sheet name="단가표(Data)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<x:sst xmlns:r="http://schemas.openxmlformats.org/officeDocument/2006/relationships" xmlns:c="http://schemas.openxmlformats.org/drawingml/2006/chart" xmlns:x="http://schemas.openxmlformats.org/spreadsheetml/2006/main" count="80" uniqueCount="65">
  <x:si>
    <x:t>※ 본 자료는 역곡지구 하우스토리 입주예정자협의회에서 입주민 여러분의 편의를 위해 제작한 참고용 자료입니다.</x:t>
  </x:si>
  <x:si>
    <x:t>역곡지구 하우스토리 A2블록 옵션 및 자금 계획 시뮬레이터</x:t>
  </x:si>
  <x:si>
    <x:t>Created by 역곡지구 하우스토리 입주예정자협의회</x:t>
  </x:si>
  <x:si>
    <x:t>총 금액</x:t>
  </x:si>
  <x:si>
    <x:t>조명 스타일업</x:t>
  </x:si>
  <x:si>
    <x:t>벽 마감재</x:t>
  </x:si>
  <x:si>
    <x:t>시스템 에어컨</x:t>
  </x:si>
  <x:si>
    <x:t>주방 냉장고장</x:t>
  </x:si>
  <x:si>
    <x:t>조명스타일업</x:t>
  </x:si>
  <x:si>
    <x:t>바닥마감재</x:t>
  </x:si>
  <x:si>
    <x:t>층수 선택</x:t>
  </x:si>
  <x:si>
    <x:t>옵션 총액</x:t>
  </x:si>
  <x:si>
    <x:t>기본 분양가</x:t>
  </x:si>
  <x:si>
    <x:t>현관 중문</x:t>
  </x:si>
  <x:si>
    <x:t>기본 정보</x:t>
  </x:si>
  <x:si>
    <x:t>총 합계</x:t>
  </x:si>
  <x:si>
    <x:t>주방 스타일업</x:t>
  </x:si>
  <x:si>
    <x:t>욕실 스타일업</x:t>
  </x:si>
  <x:si>
    <x:t>욕실스타일업</x:t>
  </x:si>
  <x:si>
    <x:t>복도 팬트리</x:t>
  </x:si>
  <x:si>
    <x:t>주택형(타입)</x:t>
  </x:si>
  <x:si>
    <x:t>주방스타일업2</x:t>
  </x:si>
  <x:si>
    <x:t>주방스타일업1</x:t>
  </x:si>
  <x:si>
    <x:t>바닥 마감재</x:t>
  </x:si>
  <x:si>
    <x:t>현관중문</x:t>
  </x:si>
  <x:si>
    <x:t>3구 인덕션</x:t>
  </x:si>
  <x:si>
    <x:t>복도팬트리</x:t>
  </x:si>
  <x:si>
    <x:t>사전청약당첨자</x:t>
  </x:si>
  <x:si>
    <x:t>발코니 확장</x:t>
  </x:si>
  <x:si>
    <x:t>발코니확장</x:t>
  </x:si>
  <x:si>
    <x:t>5층 이상</x:t>
  </x:si>
  <x:si>
    <x:t>복합환풍기</x:t>
  </x:si>
  <x:si>
    <x:t>청약 유형</x:t>
  </x:si>
  <x:si>
    <x:t>벽마감재</x:t>
  </x:si>
  <x:si>
    <x:t>냉장고장</x:t>
  </x:si>
  <x:si>
    <x:t>공통옵션</x:t>
  </x:si>
  <x:si>
    <x:t>잔금(입주시)</x:t>
  </x:si>
  <x:si>
    <x:t>식기세척기</x:t>
  </x:si>
  <x:si>
    <x:t>중도금(1차_26.12)</x:t>
  </x:si>
  <x:si>
    <x:t>중도금(2차_27.12)</x:t>
  </x:si>
  <x:si>
    <x:t>추가 선택 품목 (옵션)</x:t>
  </x:si>
  <x:si>
    <x:t>3층</x:t>
  </x:si>
  <x:si>
    <x:t>4층</x:t>
  </x:si>
  <x:si>
    <x:t>55A</x:t>
  </x:si>
  <x:si>
    <x:t>55B</x:t>
  </x:si>
  <x:si>
    <x:t>55D</x:t>
  </x:si>
  <x:si>
    <x:t>55C</x:t>
  </x:si>
  <x:si>
    <x:t>금액</x:t>
  </x:si>
  <x:si>
    <x:t>55E</x:t>
  </x:si>
  <x:si>
    <x:t>타입</x:t>
  </x:si>
  <x:si>
    <x:t>계약금</x:t>
  </x:si>
  <x:si>
    <x:t>2층</x:t>
  </x:si>
  <x:si>
    <x:t>1층</x:t>
  </x:si>
  <x:si>
    <x:t>선택</x:t>
  </x:si>
  <x:si>
    <x:t>인덕션</x:t>
  </x:si>
  <x:si>
    <x:t>구분</x:t>
  </x:si>
  <x:si>
    <x:t>욕실 복합환풍기</x:t>
  </x:si>
  <x:si>
    <x:t>침실23_공간강화</x:t>
  </x:si>
  <x:si>
    <x:t>침실 2,3 특화</x:t>
  </x:si>
  <x:si>
    <x:t>시스템에어컨_2대</x:t>
  </x:si>
  <x:si>
    <x:t>침실23_학습강화</x:t>
  </x:si>
  <x:si>
    <x:t>시스템에어컨_4대</x:t>
  </x:si>
  <x:si>
    <x:t>자금 조달 계획 (납부 일정별 상세)</x:t>
  </x:si>
  <x:si>
    <x:t>성공적인 내 집 마련과 행복한 입주를 기원합니다.</x:t>
  </x:si>
  <x:si>
    <x:t>미선택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</x:si>
</x:sst>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&quot;원&quot;"/>
  </x:numFmts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1"/>
      <x:color rgb="ffffffff"/>
      <x:b val="1"/>
    </x:font>
    <x:font>
      <x:name val="맑은 고딕"/>
      <x:sz val="14"/>
      <x:color rgb="ff2c3e50"/>
      <x:b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bdc3c7"/>
        <x:bgColor rgb="ffbdc3c7"/>
      </x:patternFill>
    </x:fill>
    <x:fill>
      <x:patternFill patternType="solid">
        <x:fgColor rgb="ff2c3e50"/>
        <x:bgColor rgb="ff2c3e50"/>
      </x:patternFill>
    </x:fill>
    <x:fill>
      <x:patternFill patternType="solid">
        <x:fgColor rgb="ffecf0f1"/>
        <x:bgColor rgb="ffecf0f1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3">
    <x:xf numFmtId="0" fontId="0" fillId="0" borderId="0" xfId="0" applyNumberFormat="1" applyAlignment="1">
      <x:alignment horizontal="general" vertical="bottom"/>
    </x:xf>
    <x:xf numFmtId="0" fontId="6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3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bottom"/>
    </x:xf>
    <x:xf numFmtId="0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</x:cellXfs>
  <x:cellStyles count="2">
    <x:cellStyle name="표준" xfId="0" builtinId="0"/>
    <x:cellStyle name="표준 2" xfId="1"/>
  </x:cellStyles>
  <x:dxfs count="18"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 patternType="solid">
          <x:fgColor rgb="ff6182d6"/>
          <x:bgColor rgb="ff6182d6"/>
        </x:patternFill>
      </x:fill>
    </x:dxf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aebfea"/>
          <x:bgColor rgb="ffaebfea"/>
        </x:patternFill>
      </x:fill>
    </x:dxf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7">
      <x:tableStyleElement type="wholeTable" size="1" dxfId="17"/>
      <x:tableStyleElement type="headerRow" size="1" dxfId="16"/>
      <x:tableStyleElement type="totalRow" size="1" dxfId="15"/>
      <x:tableStyleElement type="firstColumn" size="1" dxfId="14"/>
      <x:tableStyleElement type="lastColumn" size="1" dxfId="13"/>
      <x:tableStyleElement type="firstRowStripe" size="1" dxfId="12"/>
      <x:tableStyleElement type="firstColumnStripe" size="1" dxfId="11"/>
    </x:tableStyle>
    <x:tableStyle name="Light Style 1 - Accent 1" pivot="1" table="0" count="7">
      <x:tableStyleElement type="wholeTable" size="1" dxfId="10"/>
      <x:tableStyleElement type="headerRow" size="1" dxfId="9"/>
      <x:tableStyleElement type="totalRow" size="1" dxfId="8"/>
      <x:tableStyleElement type="firstColumn" size="1" dxfId="7"/>
      <x:tableStyleElement type="lastColumn" size="1" dxfId="6"/>
      <x:tableStyleElement type="firstRowStripe" size="1" dxfId="5"/>
      <x:tableStyleElement type="firstColumnStripe" size="1" dxfId="4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7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8.75" defaultRowHeight="16.39999999999999857891"/>
  <x:cols>
    <x:col min="1" max="1" width="3" customWidth="1"/>
    <x:col min="2" max="2" width="20" customWidth="1"/>
    <x:col min="3" max="3" width="18" customWidth="1"/>
    <x:col min="4" max="4" width="5" customWidth="1"/>
    <x:col min="5" max="5" width="15" customWidth="1"/>
    <x:col min="6" max="6" width="20" customWidth="1"/>
    <x:col min="7" max="10" width="18" customWidth="1"/>
  </x:cols>
  <x:sheetData>
    <x:row r="1" spans="1:1">
      <x:c r="A1" t="s">
        <x:v>2</x:v>
      </x:c>
    </x:row>
    <x:row r="3" spans="2:8" ht="20.64999999999999857891">
      <x:c r="B3" s="12" t="s">
        <x:v>1</x:v>
      </x:c>
      <x:c r="C3" s="12"/>
      <x:c r="D3" s="12"/>
      <x:c r="E3" s="12"/>
      <x:c r="F3" s="12"/>
      <x:c r="G3" s="12"/>
      <x:c r="H3" s="12"/>
    </x:row>
    <x:row r="5" spans="2:5">
      <x:c r="B5" s="1" t="s">
        <x:v>14</x:v>
      </x:c>
      <x:c r="E5" s="1" t="s">
        <x:v>62</x:v>
      </x:c>
    </x:row>
    <x:row r="6" spans="2:10">
      <x:c r="B6" s="2" t="s">
        <x:v>20</x:v>
      </x:c>
      <x:c r="C6" s="3" t="s">
        <x:v>43</x:v>
      </x:c>
      <x:c r="E6" s="4" t="s">
        <x:v>55</x:v>
      </x:c>
      <x:c r="F6" s="5" t="s">
        <x:v>3</x:v>
      </x:c>
      <x:c r="G6" s="5" t="s">
        <x:v>50</x:v>
      </x:c>
      <x:c r="H6" s="5" t="s">
        <x:v>38</x:v>
      </x:c>
      <x:c r="I6" s="5" t="s">
        <x:v>39</x:v>
      </x:c>
      <x:c r="J6" s="5" t="s">
        <x:v>36</x:v>
      </x:c>
    </x:row>
    <x:row r="7" spans="2:10">
      <x:c r="B7" s="2" t="s">
        <x:v>10</x:v>
      </x:c>
      <x:c r="C7" s="3" t="s">
        <x:v>30</x:v>
      </x:c>
      <x:c r="E7" s="6" t="s">
        <x:v>12</x:v>
      </x:c>
      <x:c r="F7" s="7">
        <x:f>INDEX('단가표(Data)'!B2:F6,MATCH(C6,'단가표(Data)'!A2:A6,0),MATCH(C7,'단가표(Data)'!B1:F1,0))</x:f>
        <x:v>507240000</x:v>
      </x:c>
      <x:c r="G7" s="7">
        <x:f>IF(C8="사전청약당첨자",F7*0.05,F7*0.1)</x:f>
        <x:v>25362000</x:v>
      </x:c>
      <x:c r="H7" s="7">
        <x:f>IF(C8="사전청약당첨자",0,F7*0.1)</x:f>
        <x:v>0</x:v>
      </x:c>
      <x:c r="I7" s="7">
        <x:f>IF(C8="사전청약당첨자",F7*0.2,F7*0.1)</x:f>
        <x:v>101448000</x:v>
      </x:c>
      <x:c r="J7" s="7">
        <x:f>IF(C8="사전청약당첨자",F7*0.75,F7*0.7)</x:f>
        <x:v>380430000</x:v>
      </x:c>
    </x:row>
    <x:row r="8" spans="2:10">
      <x:c r="B8" s="2" t="s">
        <x:v>32</x:v>
      </x:c>
      <x:c r="C8" s="3" t="s">
        <x:v>27</x:v>
      </x:c>
      <x:c r="E8" s="6" t="s">
        <x:v>11</x:v>
      </x:c>
      <x:c r="F8" s="7">
        <x:f>IF(C11="선택",INDEX('단가표(Data)'!G2:G6,MATCH(C6,'단가표(Data)'!A2:A6,0)),0)+IF(C12="2대",'단가표(Data)'!B9,IF(C12="4대",'단가표(Data)'!B10,0))+IF(C13="선택",INDEX('단가표(Data)'!H2:H6,MATCH(C6,'단가표(Data)'!A2:A6,0)),0)+IF(C14="학습강화형",'단가표(Data)'!B11,IF(C14="공간강화형",'단가표(Data)'!B12,0))+IF(C15="선택",INDEX('단가표(Data)'!I2:I6,MATCH(C6,'단가표(Data)'!A2:A6,0)),0)+IF(C16="스타일업1",INDEX('단가표(Data)'!J2:J6,MATCH(C6,'단가표(Data)'!A2:A6,0)),IF(C16="스타일업2",INDEX('단가표(Data)'!K2:K6,MATCH(C6,'단가표(Data)'!A2:A6,0)),0))+IF(C17="선택",'단가표(Data)'!B13,0)+IF(C18="선택",'단가표(Data)'!B14,0)+IF(C19="선택",'단가표(Data)'!B15,0)+IF(C20="선택",INDEX('단가표(Data)'!L2:L6,MATCH(C6,'단가표(Data)'!A2:A6,0)),0)+IF(C21="선택",INDEX('단가표(Data)'!M2:M6,MATCH(C6,'단가표(Data)'!A2:A6,0)),0)+IF(C22="선택",INDEX('단가표(Data)'!N2:N6,MATCH(C6,'단가표(Data)'!A2:A6,0)),0)+IF(C23="선택",INDEX('단가표(Data)'!O2:O6,MATCH(C6,'단가표(Data)'!A2:A6,0)),0)+IF(C24="선택",INDEX('단가표(Data)'!P2:P6,MATCH(C6,'단가표(Data)'!A2:A6,0)),0)</x:f>
        <x:v>5356000</x:v>
      </x:c>
      <x:c r="G8" s="7">
        <x:f>IF(C8="사전청약당첨자",F8*0.05,F8*0.1)</x:f>
        <x:v>267800</x:v>
      </x:c>
      <x:c r="H8" s="7">
        <x:f>0</x:f>
        <x:v>0</x:v>
      </x:c>
      <x:c r="I8" s="7">
        <x:f>F8*0.2</x:f>
        <x:v>1071200</x:v>
      </x:c>
      <x:c r="J8" s="7">
        <x:f>IF(C8="사전청약당첨자",F8*0.75,F8*0.7)</x:f>
        <x:v>4017000</x:v>
      </x:c>
    </x:row>
    <x:row r="9" spans="2:10">
      <x:c r="B9" s="10"/>
      <x:c r="C9" s="10"/>
      <x:c r="E9" s="8" t="s">
        <x:v>15</x:v>
      </x:c>
      <x:c r="F9" s="7">
        <x:f>F7+F8</x:f>
        <x:v>512596000</x:v>
      </x:c>
      <x:c r="G9" s="7">
        <x:f>G7+G8</x:f>
        <x:v>25629800</x:v>
      </x:c>
      <x:c r="H9" s="7">
        <x:f>H7+H8</x:f>
        <x:v>0</x:v>
      </x:c>
      <x:c r="I9" s="7">
        <x:f>I7+I8</x:f>
        <x:v>102519200</x:v>
      </x:c>
      <x:c r="J9" s="7">
        <x:f>J7+J8</x:f>
        <x:v>384447000</x:v>
      </x:c>
    </x:row>
    <x:row r="10" spans="2:3">
      <x:c r="B10" s="9" t="s">
        <x:v>40</x:v>
      </x:c>
      <x:c r="C10" s="10"/>
    </x:row>
    <x:row r="11" spans="2:3">
      <x:c r="B11" s="2" t="s">
        <x:v>28</x:v>
      </x:c>
      <x:c r="C11" s="3" t="s">
        <x:v>53</x:v>
      </x:c>
    </x:row>
    <x:row r="12" spans="2:3">
      <x:c r="B12" s="2" t="s">
        <x:v>6</x:v>
      </x:c>
      <x:c r="C12" s="3" t="s">
        <x:v>64</x:v>
      </x:c>
    </x:row>
    <x:row r="13" spans="2:3">
      <x:c r="B13" s="2" t="s">
        <x:v>13</x:v>
      </x:c>
      <x:c r="C13" s="3" t="s">
        <x:v>64</x:v>
      </x:c>
    </x:row>
    <x:row r="14" spans="2:3">
      <x:c r="B14" s="2" t="s">
        <x:v>58</x:v>
      </x:c>
      <x:c r="C14" s="3" t="s">
        <x:v>64</x:v>
      </x:c>
    </x:row>
    <x:row r="15" spans="2:3">
      <x:c r="B15" s="2" t="s">
        <x:v>7</x:v>
      </x:c>
      <x:c r="C15" s="3" t="s">
        <x:v>64</x:v>
      </x:c>
    </x:row>
    <x:row r="16" spans="2:3">
      <x:c r="B16" s="2" t="s">
        <x:v>16</x:v>
      </x:c>
      <x:c r="C16" s="3" t="s">
        <x:v>64</x:v>
      </x:c>
    </x:row>
    <x:row r="17" spans="2:3">
      <x:c r="B17" s="2" t="s">
        <x:v>25</x:v>
      </x:c>
      <x:c r="C17" s="3" t="s">
        <x:v>64</x:v>
      </x:c>
    </x:row>
    <x:row r="18" spans="2:3">
      <x:c r="B18" s="2" t="s">
        <x:v>37</x:v>
      </x:c>
      <x:c r="C18" s="3" t="s">
        <x:v>64</x:v>
      </x:c>
    </x:row>
    <x:row r="19" spans="2:9">
      <x:c r="B19" s="2" t="s">
        <x:v>56</x:v>
      </x:c>
      <x:c r="C19" s="3" t="s">
        <x:v>64</x:v>
      </x:c>
      <x:c r="I19" s="11"/>
    </x:row>
    <x:row r="20" spans="2:3">
      <x:c r="B20" s="2" t="s">
        <x:v>17</x:v>
      </x:c>
      <x:c r="C20" s="3" t="s">
        <x:v>64</x:v>
      </x:c>
    </x:row>
    <x:row r="21" spans="2:3">
      <x:c r="B21" s="2" t="s">
        <x:v>4</x:v>
      </x:c>
      <x:c r="C21" s="3" t="s">
        <x:v>64</x:v>
      </x:c>
    </x:row>
    <x:row r="22" spans="2:3">
      <x:c r="B22" s="2" t="s">
        <x:v>23</x:v>
      </x:c>
      <x:c r="C22" s="3" t="s">
        <x:v>64</x:v>
      </x:c>
    </x:row>
    <x:row r="23" spans="2:3">
      <x:c r="B23" s="2" t="s">
        <x:v>5</x:v>
      </x:c>
      <x:c r="C23" s="3" t="s">
        <x:v>64</x:v>
      </x:c>
    </x:row>
    <x:row r="24" spans="2:3">
      <x:c r="B24" s="2" t="s">
        <x:v>19</x:v>
      </x:c>
      <x:c r="C24" s="3" t="s">
        <x:v>64</x:v>
      </x:c>
    </x:row>
    <x:row r="26" spans="2:2">
      <x:c r="B26" t="s">
        <x:v>0</x:v>
      </x:c>
    </x:row>
    <x:row r="27" spans="2:2">
      <x:c r="B27" t="s">
        <x:v>63</x:v>
      </x:c>
    </x:row>
  </x:sheetData>
  <x:mergeCells count="1">
    <x:mergeCell ref="B3:H3"/>
  </x:mergeCells>
  <x:conditionalFormatting sqref="C11:C11 C13:C24">
    <x:cfRule type="cellIs" dxfId="3" priority="5" operator="equal">
      <x:formula>"선택"</x:formula>
    </x:cfRule>
  </x:conditionalFormatting>
  <x:conditionalFormatting sqref="C12:C12">
    <x:cfRule type="containsText" dxfId="2" priority="3" operator="containsText" text="대">
      <x:formula>NOT(ISERROR(SEARCH("대",C12)))</x:formula>
    </x:cfRule>
  </x:conditionalFormatting>
  <x:conditionalFormatting sqref="C14:C14">
    <x:cfRule type="containsText" dxfId="1" priority="2" operator="containsText" text="형">
      <x:formula>NOT(ISERROR(SEARCH("형",C14)))</x:formula>
    </x:cfRule>
  </x:conditionalFormatting>
  <x:conditionalFormatting sqref="C16:C16">
    <x:cfRule type="containsText" dxfId="0" priority="1" operator="containsText" text="스타일업">
      <x:formula>NOT(ISERROR(SEARCH("스타일업",C16)))</x:formula>
    </x:cfRule>
  </x:conditionalFormatting>
  <x:dataValidations count="17">
    <x:dataValidation type="list" sqref="C6:C6">
      <x:formula1>"55A,55B,55C,55D,55E"</x:formula1>
    </x:dataValidation>
    <x:dataValidation type="list" sqref="C7:C7">
      <x:formula1>"1층,2층,3층,4층,5층 이상"</x:formula1>
    </x:dataValidation>
    <x:dataValidation type="list" sqref="C8:C8">
      <x:formula1>"사전청약당첨자,일반청약자(신규)"</x:formula1>
    </x:dataValidation>
    <x:dataValidation type="list" sqref="C11:C11">
      <x:formula1>"선택,미선택"</x:formula1>
    </x:dataValidation>
    <x:dataValidation type="list" sqref="C12:C12">
      <x:formula1>"미선택,2대,4대"</x:formula1>
    </x:dataValidation>
    <x:dataValidation type="list" sqref="C13:C13">
      <x:formula1>"선택,미선택"</x:formula1>
    </x:dataValidation>
    <x:dataValidation type="list" sqref="C14:C14">
      <x:formula1>"미선택,학습강화형,공간강화형"</x:formula1>
    </x:dataValidation>
    <x:dataValidation type="list" sqref="C15:C15">
      <x:formula1>"선택,미선택"</x:formula1>
    </x:dataValidation>
    <x:dataValidation type="list" sqref="C16:C16">
      <x:formula1>"미선택,스타일업1,스타일업2"</x:formula1>
    </x:dataValidation>
    <x:dataValidation type="list" sqref="C17:C17">
      <x:formula1>"선택,미선택"</x:formula1>
    </x:dataValidation>
    <x:dataValidation type="list" sqref="C18:C18">
      <x:formula1>"선택,미선택"</x:formula1>
    </x:dataValidation>
    <x:dataValidation type="list" sqref="C19:C19">
      <x:formula1>"선택,미선택"</x:formula1>
    </x:dataValidation>
    <x:dataValidation type="list" sqref="C20:C20">
      <x:formula1>"선택,미선택"</x:formula1>
    </x:dataValidation>
    <x:dataValidation type="list" sqref="C21:C21">
      <x:formula1>"선택,미선택"</x:formula1>
    </x:dataValidation>
    <x:dataValidation type="list" sqref="C22:C22">
      <x:formula1>"선택,미선택"</x:formula1>
    </x:dataValidation>
    <x:dataValidation type="list" sqref="C23:C23">
      <x:formula1>"선택,미선택"</x:formula1>
    </x:dataValidation>
    <x:dataValidation type="list" sqref="C24:C24">
      <x:formula1>"선택,미선택"</x:formula1>
    </x:dataValidation>
  </x:dataValidation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P15"/>
  <x:sheetViews>
    <x:sheetView topLeftCell="A1" zoomScaleNormal="100" zoomScaleSheetLayoutView="75" workbookViewId="0">
      <x:selection activeCell="A1" activeCellId="0" sqref="A1:A1"/>
    </x:sheetView>
  </x:sheetViews>
  <x:sheetFormatPr defaultColWidth="8.75" defaultRowHeight="16.39999999999999857891"/>
  <x:cols>
    <x:col min="1" max="1" width="15.625" bestFit="1" customWidth="1"/>
    <x:col min="2" max="7" width="10.125" bestFit="1" customWidth="1"/>
    <x:col min="8" max="9" width="8.25" bestFit="1" customWidth="1"/>
    <x:col min="10" max="11" width="13" bestFit="1" customWidth="1"/>
    <x:col min="12" max="13" width="12" bestFit="1" customWidth="1"/>
    <x:col min="14" max="14" width="10.125" bestFit="1" customWidth="1"/>
    <x:col min="15" max="15" width="8.25" bestFit="1" customWidth="1"/>
    <x:col min="16" max="16" width="10.125" bestFit="1" customWidth="1"/>
  </x:cols>
  <x:sheetData>
    <x:row r="1" spans="1:16">
      <x:c r="A1" t="s">
        <x:v>49</x:v>
      </x:c>
      <x:c r="B1" t="s">
        <x:v>52</x:v>
      </x:c>
      <x:c r="C1" t="s">
        <x:v>51</x:v>
      </x:c>
      <x:c r="D1" t="s">
        <x:v>41</x:v>
      </x:c>
      <x:c r="E1" t="s">
        <x:v>42</x:v>
      </x:c>
      <x:c r="F1" t="s">
        <x:v>30</x:v>
      </x:c>
      <x:c r="G1" t="s">
        <x:v>29</x:v>
      </x:c>
      <x:c r="H1" t="s">
        <x:v>24</x:v>
      </x:c>
      <x:c r="I1" t="s">
        <x:v>34</x:v>
      </x:c>
      <x:c r="J1" t="s">
        <x:v>22</x:v>
      </x:c>
      <x:c r="K1" t="s">
        <x:v>21</x:v>
      </x:c>
      <x:c r="L1" t="s">
        <x:v>18</x:v>
      </x:c>
      <x:c r="M1" t="s">
        <x:v>8</x:v>
      </x:c>
      <x:c r="N1" t="s">
        <x:v>9</x:v>
      </x:c>
      <x:c r="O1" t="s">
        <x:v>33</x:v>
      </x:c>
      <x:c r="P1" t="s">
        <x:v>26</x:v>
      </x:c>
    </x:row>
    <x:row r="2" spans="1:16">
      <x:c r="A2" t="s">
        <x:v>43</x:v>
      </x:c>
      <x:c r="B2">
        <x:v>476800000</x:v>
      </x:c>
      <x:c r="C2">
        <x:v>481870000</x:v>
      </x:c>
      <x:c r="D2">
        <x:v>492020000</x:v>
      </x:c>
      <x:c r="E2">
        <x:v>502160000</x:v>
      </x:c>
      <x:c r="F2">
        <x:v>507240000</x:v>
      </x:c>
      <x:c r="G2">
        <x:v>5356000</x:v>
      </x:c>
      <x:c r="H2">
        <x:v>1340000</x:v>
      </x:c>
      <x:c r="I2">
        <x:v>770000</x:v>
      </x:c>
      <x:c r="J2">
        <x:v>1920000</x:v>
      </x:c>
      <x:c r="K2">
        <x:v>3170000</x:v>
      </x:c>
      <x:c r="L2">
        <x:v>3400000</x:v>
      </x:c>
      <x:c r="M2">
        <x:v>2410000</x:v>
      </x:c>
      <x:c r="N2">
        <x:v>2200000</x:v>
      </x:c>
      <x:c r="O2">
        <x:v>2050000</x:v>
      </x:c>
      <x:c r="P2">
        <x:v>370000</x:v>
      </x:c>
    </x:row>
    <x:row r="3" spans="1:16">
      <x:c r="A3" t="s">
        <x:v>44</x:v>
      </x:c>
      <x:c r="B3">
        <x:v>477050000</x:v>
      </x:c>
      <x:c r="C3">
        <x:v>482130000</x:v>
      </x:c>
      <x:c r="D3">
        <x:v>492280000</x:v>
      </x:c>
      <x:c r="E3">
        <x:v>502430000</x:v>
      </x:c>
      <x:c r="F3">
        <x:v>507510000</x:v>
      </x:c>
      <x:c r="G3">
        <x:v>5206000</x:v>
      </x:c>
      <x:c r="H3">
        <x:v>1360000</x:v>
      </x:c>
      <x:c r="I3">
        <x:v>750000</x:v>
      </x:c>
      <x:c r="J3">
        <x:v>1710000</x:v>
      </x:c>
      <x:c r="K3">
        <x:v>2880000</x:v>
      </x:c>
      <x:c r="L3">
        <x:v>3400000</x:v>
      </x:c>
      <x:c r="M3">
        <x:v>2410000</x:v>
      </x:c>
      <x:c r="N3">
        <x:v>2050000</x:v>
      </x:c>
      <x:c r="O3">
        <x:v>2410000</x:v>
      </x:c>
      <x:c r="P3">
        <x:v>0</x:v>
      </x:c>
    </x:row>
    <x:row r="4" spans="1:16">
      <x:c r="A4" t="s">
        <x:v>46</x:v>
      </x:c>
      <x:c r="B4">
        <x:v>477050000</x:v>
      </x:c>
      <x:c r="C4">
        <x:v>482130000</x:v>
      </x:c>
      <x:c r="D4">
        <x:v>492280000</x:v>
      </x:c>
      <x:c r="E4">
        <x:v>502430000</x:v>
      </x:c>
      <x:c r="F4">
        <x:v>507510000</x:v>
      </x:c>
      <x:c r="G4">
        <x:v>5153000</x:v>
      </x:c>
      <x:c r="H4">
        <x:v>1330000</x:v>
      </x:c>
      <x:c r="I4">
        <x:v>770000</x:v>
      </x:c>
      <x:c r="J4">
        <x:v>1860000</x:v>
      </x:c>
      <x:c r="K4">
        <x:v>3020000</x:v>
      </x:c>
      <x:c r="L4">
        <x:v>3400000</x:v>
      </x:c>
      <x:c r="M4">
        <x:v>2410000</x:v>
      </x:c>
      <x:c r="N4">
        <x:v>2190000</x:v>
      </x:c>
      <x:c r="O4">
        <x:v>2020000</x:v>
      </x:c>
      <x:c r="P4">
        <x:v>180000</x:v>
      </x:c>
    </x:row>
    <x:row r="5" spans="1:16">
      <x:c r="A5" t="s">
        <x:v>45</x:v>
      </x:c>
      <x:c r="B5">
        <x:v>477050000</x:v>
      </x:c>
      <x:c r="C5">
        <x:v>482130000</x:v>
      </x:c>
      <x:c r="D5">
        <x:v>492280000</x:v>
      </x:c>
      <x:c r="E5">
        <x:v>502430000</x:v>
      </x:c>
      <x:c r="F5">
        <x:v>507510000</x:v>
      </x:c>
      <x:c r="G5">
        <x:v>5141000</x:v>
      </x:c>
      <x:c r="H5">
        <x:v>1370000</x:v>
      </x:c>
      <x:c r="I5">
        <x:v>760000</x:v>
      </x:c>
      <x:c r="J5">
        <x:v>1850000</x:v>
      </x:c>
      <x:c r="K5">
        <x:v>3010000</x:v>
      </x:c>
      <x:c r="L5">
        <x:v>3400000</x:v>
      </x:c>
      <x:c r="M5">
        <x:v>2410000</x:v>
      </x:c>
      <x:c r="N5">
        <x:v>2250000</x:v>
      </x:c>
      <x:c r="O5">
        <x:v>2390000</x:v>
      </x:c>
      <x:c r="P5">
        <x:v>530000</x:v>
      </x:c>
    </x:row>
    <x:row r="6" spans="1:16">
      <x:c r="A6" t="s">
        <x:v>48</x:v>
      </x:c>
      <x:c r="B6">
        <x:v>477050000</x:v>
      </x:c>
      <x:c r="C6">
        <x:v>482130000</x:v>
      </x:c>
      <x:c r="D6">
        <x:v>492280000</x:v>
      </x:c>
      <x:c r="E6">
        <x:v>502430000</x:v>
      </x:c>
      <x:c r="F6">
        <x:v>507510000</x:v>
      </x:c>
      <x:c r="G6">
        <x:v>4951000</x:v>
      </x:c>
      <x:c r="H6">
        <x:v>1400000</x:v>
      </x:c>
      <x:c r="I6">
        <x:v>750000</x:v>
      </x:c>
      <x:c r="J6">
        <x:v>1890000</x:v>
      </x:c>
      <x:c r="K6">
        <x:v>3100000</x:v>
      </x:c>
      <x:c r="L6">
        <x:v>3410000</x:v>
      </x:c>
      <x:c r="M6">
        <x:v>2370000</x:v>
      </x:c>
      <x:c r="N6">
        <x:v>2240000</x:v>
      </x:c>
      <x:c r="O6">
        <x:v>2180000</x:v>
      </x:c>
      <x:c r="P6">
        <x:v>480000</x:v>
      </x:c>
    </x:row>
    <x:row r="8" spans="1:2">
      <x:c r="A8" t="s">
        <x:v>35</x:v>
      </x:c>
      <x:c r="B8" t="s">
        <x:v>47</x:v>
      </x:c>
    </x:row>
    <x:row r="9" spans="1:2">
      <x:c r="A9" t="s">
        <x:v>59</x:v>
      </x:c>
      <x:c r="B9">
        <x:v>3990000</x:v>
      </x:c>
    </x:row>
    <x:row r="10" spans="1:2">
      <x:c r="A10" t="s">
        <x:v>61</x:v>
      </x:c>
      <x:c r="B10">
        <x:v>6980000</x:v>
      </x:c>
    </x:row>
    <x:row r="11" spans="1:2">
      <x:c r="A11" t="s">
        <x:v>60</x:v>
      </x:c>
      <x:c r="B11">
        <x:v>1620000</x:v>
      </x:c>
    </x:row>
    <x:row r="12" spans="1:2">
      <x:c r="A12" t="s">
        <x:v>57</x:v>
      </x:c>
      <x:c r="B12">
        <x:v>2270000</x:v>
      </x:c>
    </x:row>
    <x:row r="13" spans="1:2">
      <x:c r="A13" t="s">
        <x:v>54</x:v>
      </x:c>
      <x:c r="B13">
        <x:v>590000</x:v>
      </x:c>
    </x:row>
    <x:row r="14" spans="1:2">
      <x:c r="A14" t="s">
        <x:v>37</x:v>
      </x:c>
      <x:c r="B14">
        <x:v>1120000</x:v>
      </x:c>
    </x:row>
    <x:row r="15" spans="1:2">
      <x:c r="A15" t="s">
        <x:v>31</x:v>
      </x:c>
      <x:c r="B15">
        <x:v>820000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대시보드</vt:lpstr>
      <vt:lpstr>단가표(Data)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mbcga</cp:lastModifiedBy>
  <cp:revision>23</cp:revision>
  <dcterms:created xsi:type="dcterms:W3CDTF">2026-08-19T12:30:40.000</dcterms:created>
  <dcterms:modified xsi:type="dcterms:W3CDTF">2026-08-19T13:10:21.215</dcterms:modified>
  <cp:version>1200.0100.01</cp:version>
</cp:coreProperties>
</file>